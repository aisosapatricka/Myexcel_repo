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roy\Downloads\"/>
    </mc:Choice>
  </mc:AlternateContent>
  <xr:revisionPtr revIDLastSave="0" documentId="13_ncr:1_{A1A8052F-5009-49CC-ACC5-CED2D0AD33D9}" xr6:coauthVersionLast="47" xr6:coauthVersionMax="47" xr10:uidLastSave="{00000000-0000-0000-0000-000000000000}"/>
  <bookViews>
    <workbookView xWindow="-45" yWindow="127" windowWidth="20273" windowHeight="12736" xr2:uid="{00000000-000D-0000-FFFF-FFFF00000000}"/>
  </bookViews>
  <sheets>
    <sheet name="Bike Sales" sheetId="1" r:id="rId1"/>
    <sheet name="SWITCH etc." sheetId="2" r:id="rId2"/>
  </sheets>
  <calcPr calcId="191028"/>
  <pivotCaches>
    <pivotCache cacheId="19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<sst xmlns="http://schemas.openxmlformats.org/spreadsheetml/2006/main" count="854" uniqueCount="174">
  <si>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</si>
  <si>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</si>
  <si>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</si>
  <si>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</si>
  <si>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</si>
  <si>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</si>
  <si>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</si>
  <si>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</si>
  <si>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</si>
  <si>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</si>
  <si>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</si>
  <si>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</si>
  <si>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</si>
  <si>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</si>
  <si>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</si>
  <si>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</si>
  <si>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</si>
  <si>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</si>
  <si>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</si>
  <si>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</si>
  <si>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</si>
  <si>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</si>
  <si>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</si>
  <si>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</si>
  <si>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</si>
  <si>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</si>
  <si>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</si>
  <si>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</si>
  <si>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</si>
  <si>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</si>
  <si>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</si>
  <si>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</si>
  <si>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</si>
  <si>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</si>
  <si>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</si>
  <si>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</si>
  <si>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</si>
  <si>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</si>
  <si>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</si>
  <si>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</si>
  <si>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</si>
  <si>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</si>
  <si>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</si>
  <si>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</si>
  <si>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</si>
  <si>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</si>
  <si>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</si>
  <si>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</si>
  <si>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</si>
  <si>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</si>
  <si>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</si>
  <si>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</si>
  <si>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</si>
  <si>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</si>
  <si>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</si>
  <si>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</si>
  <si>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</si>
  <si>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</si>
  <si>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</si>
  <si>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</si>
  <si>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</si>
  <si>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</si>
  <si>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</si>
  <si>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</si>
  <si>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</si>
  <si>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</si>
  <si>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</si>
  <si>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</si>
  <si>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</si>
  <si>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</si>
  <si>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</si>
  <si>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</si>
  <si>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</si>
  <si>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</si>
  <si>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</si>
  <si>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</si>
  <si>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</si>
  <si>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</si>
  <si>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</si>
  <si>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</si>
  <si>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</si>
  <si>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</si>
  <si>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</si>
  <si>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</si>
  <si>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</si>
  <si>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</si>
  <si>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</si>
  <si>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</si>
  <si>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</si>
  <si>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</si>
  <si>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</si>
  <si>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</si>
  <si>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</si>
  <si>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</si>
  <si>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</si>
  <si>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</si>
  <si>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</si>
  <si>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</si>
  <si>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</si>
  <si>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</si>
  <si>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</si>
  <si>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</si>
  <si>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</si>
  <si>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</si>
  <si>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</si>
  <si>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</si>
  <si>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</si>
  <si>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</si>
  <si>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</si>
  <si>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</si>
  <si>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</si>
  <si>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</si>
  <si>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</si>
  <si>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</si>
  <si>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</si>
  <si>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</si>
  <si>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</si>
  <si>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</si>
  <si>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</si>
  <si>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</si>
  <si>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</si>
  <si>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</si>
  <si>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</si>
  <si>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</si>
  <si>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</si>
  <si>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</si>
  <si>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</si>
  <si>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</si>
  <si>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</si>
  <si>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</si>
  <si>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</si>
  <si>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</si>
  <si>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</si>
  <si>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</si>
  <si>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</si>
  <si>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</si>
  <si>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</si>
  <si>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</si>
  <si>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</si>
  <si>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</si>
  <si>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</si>
  <si>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</si>
  <si>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</si>
  <si>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</si>
  <si>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</si>
  <si>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</si>
  <si>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</si>
  <si>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</si>
  <si>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</si>
  <si>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</si>
  <si>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</si>
  <si>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</si>
  <si>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</si>
  <si>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</si>
  <si>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</si>
  <si>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</si>
  <si>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</si>
  <si>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</si>
  <si>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County</t>
  </si>
  <si>
    <t>Product</t>
  </si>
  <si>
    <t>Sales Volume</t>
  </si>
  <si>
    <t>Yorkshire</t>
  </si>
  <si>
    <t>Laptops</t>
  </si>
  <si>
    <t>Smartphones</t>
  </si>
  <si>
    <t>Cornwall</t>
  </si>
  <si>
    <t>Printers</t>
  </si>
  <si>
    <t>Lancashire</t>
  </si>
  <si>
    <t>Essex</t>
  </si>
  <si>
    <t>Durham</t>
  </si>
  <si>
    <t>Greater Manchester</t>
  </si>
  <si>
    <t>Row Labels</t>
  </si>
  <si>
    <t>Grand Total</t>
  </si>
  <si>
    <t>Sum of Order_Quantity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</si>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</sst>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 wrapText="1"/>
    </xf>
    <xf numFmtId="0" fontId="22" fillId="0" borderId="12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1" fontId="22" fillId="0" borderId="13" xfId="0" applyNumberFormat="1" applyFont="1" applyBorder="1" applyAlignment="1">
      <alignment vertical="center" wrapText="1"/>
    </xf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left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 and Task 2 SWITCH dataset (2).xlsx]Bike Sales!PivotTable21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Sales Summary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'Bike Sales'!$B$92:$B$93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'Bike Sales'!$A$94:$A$97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'Bike Sales'!$B$94:$B$97</c:f>
              <c:numCache>
                <c:formatCode>General</c:formatCode>
                <c:ptCount val="3"/>
                <c:pt idx="0">
                  <c:v>11</c:v>
                </c:pt>
                <c:pt idx="1">
                  <c:v>20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B-474A-BD00-0A313D35EA65}"/>
            </c:ext>
          </c:extLst>
        </c:ser>
        <c:ser>
          <c:idx val="1"/>
          <c:order val="1"/>
          <c:tx>
            <c:strRef>
              <c:f>'Bike Sales'!$C$92:$C$93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'Bike Sales'!$A$94:$A$97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'Bike Sales'!$C$94:$C$97</c:f>
              <c:numCache>
                <c:formatCode>General</c:formatCode>
                <c:ptCount val="3"/>
                <c:pt idx="0">
                  <c:v>0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3CB-474A-BD00-0A313D35EA65}"/>
            </c:ext>
          </c:extLst>
        </c:ser>
        <c:ser>
          <c:idx val="2"/>
          <c:order val="2"/>
          <c:tx>
            <c:strRef>
              <c:f>'Bike Sales'!$D$92:$D$93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'Bike Sales'!$A$94:$A$97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'Bike Sales'!$D$94:$D$97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CB-474A-BD00-0A313D35EA65}"/>
            </c:ext>
          </c:extLst>
        </c:ser>
        <c:ser>
          <c:idx val="3"/>
          <c:order val="3"/>
          <c:tx>
            <c:strRef>
              <c:f>'Bike Sales'!$E$92:$E$93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'Bike Sales'!$A$94:$A$97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'Bike Sales'!$E$94:$E$97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3CB-474A-BD00-0A313D35EA65}"/>
            </c:ext>
          </c:extLst>
        </c:ser>
        <c:ser>
          <c:idx val="4"/>
          <c:order val="4"/>
          <c:tx>
            <c:strRef>
              <c:f>'Bike Sales'!$F$92:$F$93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'Bike Sales'!$A$94:$A$97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'Bike Sales'!$F$94:$F$97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3CB-474A-BD00-0A313D35EA65}"/>
            </c:ext>
          </c:extLst>
        </c:ser>
        <c:ser>
          <c:idx val="5"/>
          <c:order val="5"/>
          <c:tx>
            <c:strRef>
              <c:f>'Bike Sales'!$G$92:$G$93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'Bike Sales'!$A$94:$A$97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'Bike Sales'!$G$94:$G$97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3CB-474A-BD00-0A313D35EA65}"/>
            </c:ext>
          </c:extLst>
        </c:ser>
        <c:ser>
          <c:idx val="6"/>
          <c:order val="6"/>
          <c:tx>
            <c:strRef>
              <c:f>'Bike Sales'!$H$92:$H$93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'Bike Sales'!$A$94:$A$97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'Bike Sales'!$H$94:$H$97</c:f>
              <c:numCache>
                <c:formatCode>General</c:formatCode>
                <c:ptCount val="3"/>
                <c:pt idx="0">
                  <c:v>0</c:v>
                </c:pt>
                <c:pt idx="1">
                  <c:v>16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3CB-474A-BD00-0A313D35EA65}"/>
            </c:ext>
          </c:extLst>
        </c:ser>
        <c:ser>
          <c:idx val="7"/>
          <c:order val="7"/>
          <c:tx>
            <c:strRef>
              <c:f>'Bike Sales'!$I$92:$I$93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'Bike Sales'!$A$94:$A$97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'Bike Sales'!$I$94:$I$97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3CB-474A-BD00-0A313D35E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5114383"/>
        <c:axId val="1933437487"/>
      </c:barChart>
      <c:catAx>
        <c:axId val="34511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437487"/>
        <c:crosses val="autoZero"/>
        <c:auto val="1"/>
        <c:lblAlgn val="ctr"/>
        <c:lblOffset val="100"/>
        <c:noMultiLvlLbl val="0"/>
      </c:catAx>
      <c:valAx>
        <c:axId val="193343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11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123031</xdr:colOff>
      <xdr:row>105</xdr:row>
      <xdr:rowOff>96836</xdr:rowOff>
    </xdr:from>
    <xdr:to>
      <xdr:col>5</xdr:col>
      <xdr:colOff>448469</xdr:colOff>
      <xdr:row>122</xdr:row>
      <xdr:rowOff>83343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393217-5A6C-762D-8F20-4D38642A7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Y UNSEEN" refreshedDate="46219.474929398151" createdVersion="8" refreshedVersion="8" minRefreshableVersion="3" recordCount="88" xr:uid="{C1FB34BF-D4E2-4F7A-9957-A446A71B97B0}">
  <cacheSource type="worksheet">
    <worksheetSource name="Table1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x v="0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x v="0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x v="0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x v="0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x v="0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x v="0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x v="0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x v="0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x v="0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x v="0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x v="0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x v="0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x v="0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x v="0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x v="0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x v="0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x v="0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x v="0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x v="0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x v="0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x v="0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x v="0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x v="0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x v="0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x v="0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x v="0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x v="0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x v="0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x v="0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x v="0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x v="0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x v="0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x v="0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x v="0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x v="0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x v="0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x v="0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x v="0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x v="0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x v="0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x v="0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x v="0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x v="0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x v="0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x v="0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x v="0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x v="0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x v="0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x v="0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x v="0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x v="0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x v="0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x v="0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x v="0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x v="0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x v="0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x v="0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x v="0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x v="0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x v="0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x v="0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x v="0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x v="0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x v="0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x v="0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x v="0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x v="0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x v="0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x v="0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x v="0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x v="0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x v="0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x v="0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x v="0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x v="0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x v="0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x v="0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x v="0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x v="0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x v="0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x v="0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x v="0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x v="0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x v="0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x v="0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3EA7C-F905-4959-A36A-6293E072B887}" name="PivotTable21" cacheId="192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2">
  <location ref="A92:J97" firstHeaderRow="1" firstDataRow="2" firstDataCol="1"/>
  <pivotFields count="19">
    <pivotField showAll="0"/>
    <pivotField numFmtId="14" showAll="0"/>
    <pivotField showAll="0"/>
    <pivotField showAll="0"/>
    <pivotField showAll="0">
      <items count="2">
        <item x="0"/>
        <item t="default"/>
      </items>
    </pivotField>
    <pivotField showAll="0"/>
    <pivotField axis="axisRow" showAll="0" sortType="descending">
      <items count="4">
        <item sd="0" x="2"/>
        <item sd="0" x="1"/>
        <item sd="0"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</pivotFields>
  <rowFields count="2">
    <field x="6"/>
    <field x="7"/>
  </rowFields>
  <rowItems count="4">
    <i>
      <x/>
    </i>
    <i>
      <x v="1"/>
    </i>
    <i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chartFormats count="16"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DD77B7-5DE7-4C8B-889C-0A14DCDDBEA6}" name="Table1" displayName="Table1" ref="A1:S89" totalsRowShown="0" headerRowDxfId="0">
  <autoFilter ref="A1:S89" xr:uid="{B3DD77B7-5DE7-4C8B-889C-0A14DCDDBEA6}"/>
  <tableColumns count="19">
    <tableColumn id="1" xr3:uid="{85ABA0AB-1C89-4ED2-943C-7422439C0651}" name="Sales_Order #" dataDxfId="9"/>
    <tableColumn id="2" xr3:uid="{52AEFFA6-7E70-42CE-8D8E-F4580DF106B9}" name="Date" dataDxfId="8"/>
    <tableColumn id="3" xr3:uid="{69DF493D-143A-4563-880C-182A5D24F619}" name="Day"/>
    <tableColumn id="4" xr3:uid="{1A58A2D8-9093-48D2-B9F8-E444DAA39FA9}" name="Month"/>
    <tableColumn id="5" xr3:uid="{2427E8EA-459F-4716-A33C-0E752A559365}" name="Year"/>
    <tableColumn id="6" xr3:uid="{59EBFA71-74E8-4648-A30F-335829B704D5}" name="Customer_Age"/>
    <tableColumn id="7" xr3:uid="{4FFE8ED9-69B2-4237-A3FD-3E2BBF47FD25}" name="Age_Group" dataDxfId="7"/>
    <tableColumn id="8" xr3:uid="{3EEA6E75-F243-44AA-9B27-43DC77BAF16E}" name="Customer_Gender"/>
    <tableColumn id="9" xr3:uid="{9FF05214-9DD6-4547-9219-D8858EBB6406}" name="Country"/>
    <tableColumn id="10" xr3:uid="{5A9FDB4B-05EF-44A4-A7A2-F97B03809DC8}" name="State"/>
    <tableColumn id="11" xr3:uid="{C228EF15-D620-4EC4-A2DA-B71F8E4ABF08}" name="Product_Category"/>
    <tableColumn id="12" xr3:uid="{CA1757EC-7A20-4753-9CCA-E6B53264EBAD}" name="Sub_Category"/>
    <tableColumn id="13" xr3:uid="{1521A9B9-E697-4076-ACB6-29745CE9F26D}" name="Product_Description" dataDxfId="6"/>
    <tableColumn id="14" xr3:uid="{E197EA26-77E6-4B46-ACCC-5F38CD4C3C8A}" name="Order_Quantity"/>
    <tableColumn id="15" xr3:uid="{1832AAE3-8472-4298-8533-2A768BB7959C}" name=" Unit_Cost " dataDxfId="5"/>
    <tableColumn id="16" xr3:uid="{F9452EF5-C705-4999-9EF1-4A983E7234AA}" name=" Unit_Price " dataDxfId="4"/>
    <tableColumn id="17" xr3:uid="{8E8445A2-EF8D-4610-9CA8-CF8DC97CB9E0}" name=" Profit " dataDxfId="3"/>
    <tableColumn id="18" xr3:uid="{8014FC7A-E198-4B87-979D-E342775AD7F2}" name=" Cost " dataDxfId="2">
      <calculatedColumnFormula>N2*O2</calculatedColumnFormula>
    </tableColumn>
    <tableColumn id="19" xr3:uid="{BD3B60C7-907C-4E10-BFED-F71835150662}" name="Revenue" dataDxfId="1">
      <calculatedColumnFormula>N2*P2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3"/>
  <sheetViews>
    <sheetView tabSelected="1" topLeftCell="A89" zoomScale="120" zoomScaleNormal="120" workbookViewId="0">
      <selection activeCell="B96" sqref="A92:J97"/>
    </sheetView>
  </sheetViews>
  <sheetFormatPr defaultRowHeight="14.25" x14ac:dyDescent="0.45"/>
  <cols>
    <col min="1" max="1" width="20.1328125" bestFit="1" customWidth="1"/>
    <col min="2" max="2" width="14.73046875" bestFit="1" customWidth="1"/>
    <col min="3" max="3" width="6.73046875" bestFit="1" customWidth="1"/>
    <col min="4" max="4" width="6.1328125" bestFit="1" customWidth="1"/>
    <col min="5" max="5" width="8.1328125" bestFit="1" customWidth="1"/>
    <col min="6" max="6" width="12.19921875" bestFit="1" customWidth="1"/>
    <col min="7" max="7" width="14.06640625" style="8" bestFit="1" customWidth="1"/>
    <col min="8" max="8" width="11.73046875" bestFit="1" customWidth="1"/>
    <col min="9" max="9" width="12.19921875" bestFit="1" customWidth="1"/>
    <col min="10" max="10" width="10.265625" bestFit="1" customWidth="1"/>
    <col min="11" max="11" width="16.796875" customWidth="1"/>
    <col min="12" max="12" width="14.86328125" bestFit="1" customWidth="1"/>
    <col min="13" max="13" width="25" bestFit="1" customWidth="1"/>
    <col min="14" max="14" width="15" customWidth="1"/>
    <col min="15" max="15" width="11.06640625" customWidth="1"/>
    <col min="16" max="16" width="11.53125" customWidth="1"/>
    <col min="17" max="18" width="9.86328125" bestFit="1" customWidth="1"/>
    <col min="19" max="19" width="10.86328125" bestFit="1" customWidth="1"/>
  </cols>
  <sheetData>
    <row r="1" spans="1:19" s="4" customForma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4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45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45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4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4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45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45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45">
      <c r="A9" s="3" t="s">
        <v>48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45">
      <c r="A10" s="3" t="s">
        <v>49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45">
      <c r="A11" s="3" t="s">
        <v>50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51</v>
      </c>
      <c r="J11" t="s">
        <v>52</v>
      </c>
      <c r="K11" t="s">
        <v>25</v>
      </c>
      <c r="L11" t="s">
        <v>26</v>
      </c>
      <c r="M11" s="5" t="s">
        <v>44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45">
      <c r="A12" s="3" t="s">
        <v>53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54</v>
      </c>
      <c r="K12" t="s">
        <v>25</v>
      </c>
      <c r="L12" t="s">
        <v>26</v>
      </c>
      <c r="M12" s="5" t="s">
        <v>55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45">
      <c r="A13" s="3" t="s">
        <v>56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45">
      <c r="A14" s="3" t="s">
        <v>57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43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45">
      <c r="A15" s="3" t="s">
        <v>58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59</v>
      </c>
      <c r="J15" t="s">
        <v>60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45">
      <c r="A16" s="3" t="s">
        <v>61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62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45">
      <c r="A17" s="3" t="s">
        <v>63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55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45">
      <c r="A18" s="3" t="s">
        <v>64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65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45">
      <c r="A19" s="3" t="s">
        <v>66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45">
      <c r="A20" s="3" t="s">
        <v>67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43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68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45">
      <c r="A21" s="3" t="s">
        <v>69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59</v>
      </c>
      <c r="J21" t="s">
        <v>60</v>
      </c>
      <c r="K21" t="s">
        <v>25</v>
      </c>
      <c r="L21" t="s">
        <v>26</v>
      </c>
      <c r="M21" s="5" t="s">
        <v>55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45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71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45">
      <c r="A23" s="3" t="s">
        <v>73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45">
      <c r="A24" s="3" t="s">
        <v>74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75</v>
      </c>
      <c r="K24" t="s">
        <v>25</v>
      </c>
      <c r="L24" t="s">
        <v>26</v>
      </c>
      <c r="M24" s="5" t="s">
        <v>76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45">
      <c r="A25" s="3" t="s">
        <v>77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51</v>
      </c>
      <c r="J25" t="s">
        <v>78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45">
      <c r="A26" s="3" t="s">
        <v>79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62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45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45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44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45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83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45">
      <c r="A30" s="3" t="s">
        <v>84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47</v>
      </c>
      <c r="K30" t="s">
        <v>25</v>
      </c>
      <c r="L30" t="s">
        <v>26</v>
      </c>
      <c r="M30" s="5" t="s">
        <v>85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45">
      <c r="A31" s="3" t="s">
        <v>86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44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45">
      <c r="A32" s="3" t="s">
        <v>87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43</v>
      </c>
      <c r="H32" t="s">
        <v>22</v>
      </c>
      <c r="I32" t="s">
        <v>88</v>
      </c>
      <c r="J32" t="s">
        <v>89</v>
      </c>
      <c r="K32" t="s">
        <v>25</v>
      </c>
      <c r="L32" t="s">
        <v>26</v>
      </c>
      <c r="M32" s="5" t="s">
        <v>44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45">
      <c r="A33" s="3" t="s">
        <v>90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65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45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59</v>
      </c>
      <c r="J34" t="s">
        <v>60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45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45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55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45">
      <c r="A37" s="3" t="s">
        <v>94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45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45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44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45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75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45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47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45">
      <c r="A42" s="3" t="s">
        <v>99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54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45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101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45">
      <c r="A44" s="3" t="s">
        <v>102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44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45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45">
      <c r="A46" s="3" t="s">
        <v>104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47</v>
      </c>
      <c r="K46" t="s">
        <v>25</v>
      </c>
      <c r="L46" t="s">
        <v>26</v>
      </c>
      <c r="M46" s="5" t="s">
        <v>55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45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45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75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45">
      <c r="A49" s="3" t="s">
        <v>107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45">
      <c r="A50" s="3" t="s">
        <v>108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44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45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45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88</v>
      </c>
      <c r="J52" t="s">
        <v>111</v>
      </c>
      <c r="K52" t="s">
        <v>25</v>
      </c>
      <c r="L52" t="s">
        <v>26</v>
      </c>
      <c r="M52" s="5" t="s">
        <v>112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45">
      <c r="A53" s="3" t="s">
        <v>113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47</v>
      </c>
      <c r="K53" t="s">
        <v>25</v>
      </c>
      <c r="L53" t="s">
        <v>26</v>
      </c>
      <c r="M53" s="5" t="s">
        <v>55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45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45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51</v>
      </c>
      <c r="J55" t="s">
        <v>52</v>
      </c>
      <c r="K55" t="s">
        <v>25</v>
      </c>
      <c r="L55" t="s">
        <v>26</v>
      </c>
      <c r="M55" s="5" t="s">
        <v>112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45">
      <c r="A56" s="3" t="s">
        <v>116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68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45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51</v>
      </c>
      <c r="J57" t="s">
        <v>52</v>
      </c>
      <c r="K57" t="s">
        <v>25</v>
      </c>
      <c r="L57" t="s">
        <v>26</v>
      </c>
      <c r="M57" s="5" t="s">
        <v>112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45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43</v>
      </c>
      <c r="H58" t="s">
        <v>22</v>
      </c>
      <c r="I58" t="s">
        <v>88</v>
      </c>
      <c r="J58" t="s">
        <v>119</v>
      </c>
      <c r="K58" t="s">
        <v>25</v>
      </c>
      <c r="L58" t="s">
        <v>26</v>
      </c>
      <c r="M58" s="5" t="s">
        <v>55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45">
      <c r="A59" s="3" t="s">
        <v>120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45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62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45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88</v>
      </c>
      <c r="J61" t="s">
        <v>89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45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47</v>
      </c>
      <c r="K62" t="s">
        <v>25</v>
      </c>
      <c r="L62" t="s">
        <v>26</v>
      </c>
      <c r="M62" s="5" t="s">
        <v>55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45">
      <c r="A63" s="3" t="s">
        <v>124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43</v>
      </c>
      <c r="H63" t="s">
        <v>29</v>
      </c>
      <c r="I63" t="s">
        <v>88</v>
      </c>
      <c r="J63" t="s">
        <v>125</v>
      </c>
      <c r="K63" t="s">
        <v>25</v>
      </c>
      <c r="L63" t="s">
        <v>26</v>
      </c>
      <c r="M63" s="5" t="s">
        <v>112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45">
      <c r="A64" s="3" t="s">
        <v>126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43</v>
      </c>
      <c r="H64" t="s">
        <v>22</v>
      </c>
      <c r="I64" t="s">
        <v>37</v>
      </c>
      <c r="J64" t="s">
        <v>75</v>
      </c>
      <c r="K64" t="s">
        <v>25</v>
      </c>
      <c r="L64" t="s">
        <v>26</v>
      </c>
      <c r="M64" s="5" t="s">
        <v>127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45">
      <c r="A65" s="3" t="s">
        <v>128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88</v>
      </c>
      <c r="J65" t="s">
        <v>89</v>
      </c>
      <c r="K65" t="s">
        <v>25</v>
      </c>
      <c r="L65" t="s">
        <v>26</v>
      </c>
      <c r="M65" s="5" t="s">
        <v>44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45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71</v>
      </c>
      <c r="K66" t="s">
        <v>25</v>
      </c>
      <c r="L66" t="s">
        <v>26</v>
      </c>
      <c r="M66" s="5" t="s">
        <v>130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45">
      <c r="A67" s="3" t="s">
        <v>131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71</v>
      </c>
      <c r="K67" t="s">
        <v>25</v>
      </c>
      <c r="L67" t="s">
        <v>26</v>
      </c>
      <c r="M67" s="5" t="s">
        <v>44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45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45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45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43</v>
      </c>
      <c r="H70" t="s">
        <v>29</v>
      </c>
      <c r="I70" t="s">
        <v>37</v>
      </c>
      <c r="J70" t="s">
        <v>135</v>
      </c>
      <c r="K70" t="s">
        <v>25</v>
      </c>
      <c r="L70" t="s">
        <v>26</v>
      </c>
      <c r="M70" s="5" t="s">
        <v>83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45">
      <c r="A71" s="3" t="s">
        <v>136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51</v>
      </c>
      <c r="J71" t="s">
        <v>137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45">
      <c r="A72" s="3" t="s">
        <v>138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47</v>
      </c>
      <c r="K72" t="s">
        <v>25</v>
      </c>
      <c r="L72" t="s">
        <v>26</v>
      </c>
      <c r="M72" s="5" t="s">
        <v>55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45">
      <c r="A73" s="3" t="s">
        <v>139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75</v>
      </c>
      <c r="K73" t="s">
        <v>25</v>
      </c>
      <c r="L73" t="s">
        <v>26</v>
      </c>
      <c r="M73" s="5" t="s">
        <v>76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45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54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45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59</v>
      </c>
      <c r="J75" t="s">
        <v>60</v>
      </c>
      <c r="K75" t="s">
        <v>25</v>
      </c>
      <c r="L75" t="s">
        <v>26</v>
      </c>
      <c r="M75" s="5" t="s">
        <v>142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45">
      <c r="A76" s="3" t="s">
        <v>143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54</v>
      </c>
      <c r="K76" t="s">
        <v>25</v>
      </c>
      <c r="L76" t="s">
        <v>26</v>
      </c>
      <c r="M76" s="5" t="s">
        <v>55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45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75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45">
      <c r="A78" s="3" t="s">
        <v>145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88</v>
      </c>
      <c r="J78" t="s">
        <v>146</v>
      </c>
      <c r="K78" t="s">
        <v>25</v>
      </c>
      <c r="L78" t="s">
        <v>26</v>
      </c>
      <c r="M78" s="5" t="s">
        <v>55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45">
      <c r="A79" s="3" t="s">
        <v>147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43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45">
      <c r="A80" s="3" t="s">
        <v>148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47</v>
      </c>
      <c r="K80" t="s">
        <v>25</v>
      </c>
      <c r="L80" t="s">
        <v>26</v>
      </c>
      <c r="M80" s="5" t="s">
        <v>55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45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62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45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43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68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45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88</v>
      </c>
      <c r="J83" t="s">
        <v>89</v>
      </c>
      <c r="K83" t="s">
        <v>25</v>
      </c>
      <c r="L83" t="s">
        <v>26</v>
      </c>
      <c r="M83" s="5" t="s">
        <v>44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45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59</v>
      </c>
      <c r="J84" t="s">
        <v>60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45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51</v>
      </c>
      <c r="J85" t="s">
        <v>137</v>
      </c>
      <c r="K85" t="s">
        <v>25</v>
      </c>
      <c r="L85" t="s">
        <v>26</v>
      </c>
      <c r="M85" s="5" t="s">
        <v>55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45">
      <c r="A86" s="3" t="s">
        <v>154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71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45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59</v>
      </c>
      <c r="J87" t="s">
        <v>60</v>
      </c>
      <c r="K87" t="s">
        <v>25</v>
      </c>
      <c r="L87" t="s">
        <v>26</v>
      </c>
      <c r="M87" s="5" t="s">
        <v>62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45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45">
      <c r="A89" s="3" t="s">
        <v>157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54</v>
      </c>
      <c r="K89" t="s">
        <v>25</v>
      </c>
      <c r="L89" t="s">
        <v>26</v>
      </c>
      <c r="M89" s="5" t="s">
        <v>62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  <row r="92" spans="1:19" x14ac:dyDescent="0.45">
      <c r="A92" s="15" t="s">
        <v>172</v>
      </c>
      <c r="B92" s="15" t="s">
        <v>173</v>
      </c>
      <c r="G92"/>
    </row>
    <row r="93" spans="1:19" x14ac:dyDescent="0.45">
      <c r="A93" s="15" t="s">
        <v>170</v>
      </c>
      <c r="B93" t="s">
        <v>37</v>
      </c>
      <c r="C93" t="s">
        <v>59</v>
      </c>
      <c r="D93" t="s">
        <v>88</v>
      </c>
      <c r="E93" t="s">
        <v>51</v>
      </c>
      <c r="F93" t="s">
        <v>41</v>
      </c>
      <c r="G93" t="s">
        <v>30</v>
      </c>
      <c r="H93" t="s">
        <v>23</v>
      </c>
      <c r="I93" t="s">
        <v>46</v>
      </c>
      <c r="J93" t="s">
        <v>171</v>
      </c>
    </row>
    <row r="94" spans="1:19" x14ac:dyDescent="0.45">
      <c r="A94" s="8" t="s">
        <v>43</v>
      </c>
      <c r="B94" s="16">
        <v>11</v>
      </c>
      <c r="C94" s="16">
        <v>0</v>
      </c>
      <c r="D94" s="16">
        <v>10</v>
      </c>
      <c r="E94" s="16">
        <v>0</v>
      </c>
      <c r="F94" s="16">
        <v>0</v>
      </c>
      <c r="G94" s="16">
        <v>6</v>
      </c>
      <c r="H94" s="16">
        <v>0</v>
      </c>
      <c r="I94" s="16">
        <v>0</v>
      </c>
      <c r="J94" s="16">
        <v>27</v>
      </c>
    </row>
    <row r="95" spans="1:19" x14ac:dyDescent="0.45">
      <c r="A95" s="8" t="s">
        <v>36</v>
      </c>
      <c r="B95" s="16">
        <v>20</v>
      </c>
      <c r="C95" s="16">
        <v>11</v>
      </c>
      <c r="D95" s="16">
        <v>10</v>
      </c>
      <c r="E95" s="16">
        <v>0</v>
      </c>
      <c r="F95" s="16">
        <v>0</v>
      </c>
      <c r="G95" s="16">
        <v>4</v>
      </c>
      <c r="H95" s="16">
        <v>16</v>
      </c>
      <c r="I95" s="16">
        <v>0</v>
      </c>
      <c r="J95" s="16">
        <v>61</v>
      </c>
    </row>
    <row r="96" spans="1:19" x14ac:dyDescent="0.45">
      <c r="A96" s="8" t="s">
        <v>21</v>
      </c>
      <c r="B96" s="16">
        <v>32</v>
      </c>
      <c r="C96" s="16">
        <v>0</v>
      </c>
      <c r="D96" s="16">
        <v>0</v>
      </c>
      <c r="E96" s="16">
        <v>13</v>
      </c>
      <c r="F96" s="16">
        <v>2</v>
      </c>
      <c r="G96" s="16">
        <v>4</v>
      </c>
      <c r="H96" s="16">
        <v>47</v>
      </c>
      <c r="I96" s="16">
        <v>1</v>
      </c>
      <c r="J96" s="16">
        <v>99</v>
      </c>
    </row>
    <row r="97" spans="1:10" x14ac:dyDescent="0.45">
      <c r="A97" s="8" t="s">
        <v>171</v>
      </c>
      <c r="B97" s="16">
        <v>63</v>
      </c>
      <c r="C97" s="16">
        <v>11</v>
      </c>
      <c r="D97" s="16">
        <v>20</v>
      </c>
      <c r="E97" s="16">
        <v>13</v>
      </c>
      <c r="F97" s="16">
        <v>2</v>
      </c>
      <c r="G97" s="16">
        <v>14</v>
      </c>
      <c r="H97" s="16">
        <v>63</v>
      </c>
      <c r="I97" s="16">
        <v>1</v>
      </c>
      <c r="J97" s="16">
        <v>187</v>
      </c>
    </row>
    <row r="98" spans="1:10" x14ac:dyDescent="0.45">
      <c r="G98"/>
    </row>
    <row r="99" spans="1:10" x14ac:dyDescent="0.45">
      <c r="G99"/>
    </row>
    <row r="100" spans="1:10" x14ac:dyDescent="0.45">
      <c r="G100"/>
    </row>
    <row r="101" spans="1:10" x14ac:dyDescent="0.45">
      <c r="G101"/>
    </row>
    <row r="102" spans="1:10" x14ac:dyDescent="0.45">
      <c r="G102"/>
    </row>
    <row r="103" spans="1:10" x14ac:dyDescent="0.45">
      <c r="G103"/>
    </row>
  </sheetData>
  <phoneticPr fontId="18" type="noConversion"/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6155-A56D-40C9-A7A4-2A849EB48998}">
  <dimension ref="A1:C13"/>
  <sheetViews>
    <sheetView workbookViewId="0">
      <selection activeCell="E7" sqref="E7"/>
    </sheetView>
  </sheetViews>
  <sheetFormatPr defaultRowHeight="14.25" x14ac:dyDescent="0.45"/>
  <cols>
    <col min="1" max="1" width="33.73046875" customWidth="1"/>
    <col min="2" max="2" width="24.3984375" customWidth="1"/>
    <col min="3" max="3" width="30.265625" customWidth="1"/>
    <col min="4" max="4" width="39.59765625" customWidth="1"/>
    <col min="6" max="6" width="8.86328125" customWidth="1"/>
  </cols>
  <sheetData>
    <row r="1" spans="1:3" ht="19.149999999999999" thickBot="1" x14ac:dyDescent="0.5">
      <c r="A1" s="9" t="s">
        <v>158</v>
      </c>
      <c r="B1" s="10" t="s">
        <v>159</v>
      </c>
      <c r="C1" s="11" t="s">
        <v>160</v>
      </c>
    </row>
    <row r="2" spans="1:3" ht="19.149999999999999" thickBot="1" x14ac:dyDescent="0.5">
      <c r="A2" s="12" t="s">
        <v>161</v>
      </c>
      <c r="B2" s="13" t="s">
        <v>162</v>
      </c>
      <c r="C2" s="14">
        <v>500</v>
      </c>
    </row>
    <row r="3" spans="1:3" ht="19.149999999999999" thickBot="1" x14ac:dyDescent="0.5">
      <c r="A3" s="12" t="s">
        <v>161</v>
      </c>
      <c r="B3" s="13" t="s">
        <v>163</v>
      </c>
      <c r="C3" s="14">
        <v>200</v>
      </c>
    </row>
    <row r="4" spans="1:3" ht="19.149999999999999" thickBot="1" x14ac:dyDescent="0.5">
      <c r="A4" s="12" t="s">
        <v>164</v>
      </c>
      <c r="B4" s="13" t="s">
        <v>162</v>
      </c>
      <c r="C4" s="14">
        <v>700</v>
      </c>
    </row>
    <row r="5" spans="1:3" ht="19.149999999999999" thickBot="1" x14ac:dyDescent="0.5">
      <c r="A5" s="12" t="s">
        <v>164</v>
      </c>
      <c r="B5" s="13" t="s">
        <v>165</v>
      </c>
      <c r="C5" s="14">
        <v>400</v>
      </c>
    </row>
    <row r="6" spans="1:3" ht="19.149999999999999" thickBot="1" x14ac:dyDescent="0.5">
      <c r="A6" s="12" t="s">
        <v>166</v>
      </c>
      <c r="B6" s="13" t="s">
        <v>163</v>
      </c>
      <c r="C6" s="14">
        <v>150</v>
      </c>
    </row>
    <row r="7" spans="1:3" ht="19.149999999999999" thickBot="1" x14ac:dyDescent="0.5">
      <c r="A7" s="12" t="s">
        <v>166</v>
      </c>
      <c r="B7" s="13" t="s">
        <v>162</v>
      </c>
      <c r="C7" s="14">
        <v>600</v>
      </c>
    </row>
    <row r="8" spans="1:3" ht="19.149999999999999" thickBot="1" x14ac:dyDescent="0.5">
      <c r="A8" s="12" t="s">
        <v>167</v>
      </c>
      <c r="B8" s="13" t="s">
        <v>165</v>
      </c>
      <c r="C8" s="14">
        <v>800</v>
      </c>
    </row>
    <row r="9" spans="1:3" ht="19.149999999999999" thickBot="1" x14ac:dyDescent="0.5">
      <c r="A9" s="12" t="s">
        <v>167</v>
      </c>
      <c r="B9" s="13" t="s">
        <v>163</v>
      </c>
      <c r="C9" s="14">
        <v>300</v>
      </c>
    </row>
    <row r="10" spans="1:3" ht="19.149999999999999" thickBot="1" x14ac:dyDescent="0.5">
      <c r="A10" s="12" t="s">
        <v>168</v>
      </c>
      <c r="B10" s="13" t="s">
        <v>162</v>
      </c>
      <c r="C10" s="14">
        <v>250</v>
      </c>
    </row>
    <row r="11" spans="1:3" ht="19.149999999999999" thickBot="1" x14ac:dyDescent="0.5">
      <c r="A11" s="12" t="s">
        <v>168</v>
      </c>
      <c r="B11" s="13" t="s">
        <v>165</v>
      </c>
      <c r="C11" s="14">
        <v>300</v>
      </c>
    </row>
    <row r="12" spans="1:3" ht="19.149999999999999" thickBot="1" x14ac:dyDescent="0.5">
      <c r="A12" s="12" t="s">
        <v>169</v>
      </c>
      <c r="B12" s="13" t="s">
        <v>163</v>
      </c>
      <c r="C12" s="14">
        <v>600</v>
      </c>
    </row>
    <row r="13" spans="1:3" ht="19.149999999999999" thickBot="1" x14ac:dyDescent="0.5">
      <c r="A13" s="12" t="s">
        <v>169</v>
      </c>
      <c r="B13" s="13" t="s">
        <v>162</v>
      </c>
      <c r="C13" s="14">
        <v>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78E7A3-2510-4C53-8BEC-FC7EE79356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b27d6d-aa4d-4523-9ddf-63e085519c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 Sales</vt:lpstr>
      <vt:lpstr>SWITCH etc.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Patrick Ahanor</cp:lastModifiedBy>
  <cp:revision/>
  <dcterms:created xsi:type="dcterms:W3CDTF">2022-11-04T20:14:11Z</dcterms:created>
  <dcterms:modified xsi:type="dcterms:W3CDTF">2026-07-16T10:51:01Z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